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;[Red](&quot;$&quot;#,##0.00);&quot;-&quot;"/>
    <numFmt numFmtId="165" formatCode="0.0%;[Red](0.0%);-"/>
  </numFmts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FFFFFF"/>
      <sz val="11"/>
    </font>
    <font>
      <name val="Arial"/>
      <color rgb="00000000"/>
      <sz val="11"/>
    </font>
    <font>
      <name val="Arial"/>
      <color rgb="000000FF"/>
      <sz val="11"/>
    </font>
    <font>
      <name val="Arial"/>
      <b val="1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3" fillId="0" borderId="1" pivotButton="0" quotePrefix="0" xfId="0"/>
    <xf numFmtId="164" fontId="4" fillId="0" borderId="1" pivotButton="0" quotePrefix="0" xfId="0"/>
    <xf numFmtId="0" fontId="5" fillId="3" borderId="0" pivotButton="0" quotePrefix="0" xfId="0"/>
    <xf numFmtId="0" fontId="0" fillId="3" borderId="0" pivotButton="0" quotePrefix="0" xfId="0"/>
    <xf numFmtId="164" fontId="5" fillId="3" borderId="1" pivotButton="0" quotePrefix="0" xfId="0"/>
    <xf numFmtId="164" fontId="3" fillId="0" borderId="1" pivotButton="0" quotePrefix="0" xfId="0"/>
    <xf numFmtId="165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4" customWidth="1" min="3" max="3"/>
    <col width="14" customWidth="1" min="4" max="4"/>
  </cols>
  <sheetData>
    <row r="1">
      <c r="A1" s="1" t="inlineStr">
        <is>
          <t>2026年6月 个人收支预算</t>
        </is>
      </c>
    </row>
    <row r="3">
      <c r="A3" s="2" t="inlineStr">
        <is>
          <t>项目</t>
        </is>
      </c>
      <c r="B3" s="2" t="inlineStr">
        <is>
          <t>类别</t>
        </is>
      </c>
      <c r="C3" s="2" t="inlineStr">
        <is>
          <t>预算 ($)</t>
        </is>
      </c>
      <c r="D3" s="2" t="inlineStr">
        <is>
          <t>实际 ($)</t>
        </is>
      </c>
    </row>
    <row r="4">
      <c r="A4" s="3" t="inlineStr">
        <is>
          <t>工资</t>
        </is>
      </c>
      <c r="B4" s="3" t="inlineStr">
        <is>
          <t>收入</t>
        </is>
      </c>
      <c r="C4" s="4" t="n">
        <v>15000</v>
      </c>
      <c r="D4" s="4" t="n">
        <v>15800</v>
      </c>
    </row>
    <row r="5">
      <c r="A5" s="3" t="inlineStr">
        <is>
          <t>副业</t>
        </is>
      </c>
      <c r="B5" s="3" t="inlineStr">
        <is>
          <t>收入</t>
        </is>
      </c>
      <c r="C5" s="4" t="n">
        <v>2000</v>
      </c>
      <c r="D5" s="4" t="n">
        <v>2300</v>
      </c>
    </row>
    <row r="6">
      <c r="A6" s="3" t="inlineStr">
        <is>
          <t>投资收益</t>
        </is>
      </c>
      <c r="B6" s="3" t="inlineStr">
        <is>
          <t>收入</t>
        </is>
      </c>
      <c r="C6" s="4" t="n">
        <v>500</v>
      </c>
      <c r="D6" s="4" t="n">
        <v>450</v>
      </c>
    </row>
    <row r="7">
      <c r="A7" s="3" t="inlineStr">
        <is>
          <t>房租</t>
        </is>
      </c>
      <c r="B7" s="3" t="inlineStr">
        <is>
          <t>住房</t>
        </is>
      </c>
      <c r="C7" s="4" t="n">
        <v>4000</v>
      </c>
      <c r="D7" s="4" t="n">
        <v>4000</v>
      </c>
    </row>
    <row r="8">
      <c r="A8" s="3" t="inlineStr">
        <is>
          <t>水电</t>
        </is>
      </c>
      <c r="B8" s="3" t="inlineStr">
        <is>
          <t>住房</t>
        </is>
      </c>
      <c r="C8" s="4" t="n">
        <v>300</v>
      </c>
      <c r="D8" s="4" t="n">
        <v>285</v>
      </c>
    </row>
    <row r="9">
      <c r="A9" s="3" t="inlineStr">
        <is>
          <t>餐饮</t>
        </is>
      </c>
      <c r="B9" s="3" t="inlineStr">
        <is>
          <t>生活</t>
        </is>
      </c>
      <c r="C9" s="4" t="n">
        <v>1500</v>
      </c>
      <c r="D9" s="4" t="n">
        <v>1620</v>
      </c>
    </row>
    <row r="10">
      <c r="A10" s="3" t="inlineStr">
        <is>
          <t>交通</t>
        </is>
      </c>
      <c r="B10" s="3" t="inlineStr">
        <is>
          <t>生活</t>
        </is>
      </c>
      <c r="C10" s="4" t="n">
        <v>600</v>
      </c>
      <c r="D10" s="4" t="n">
        <v>540</v>
      </c>
    </row>
    <row r="11">
      <c r="A11" s="3" t="inlineStr">
        <is>
          <t>娱乐</t>
        </is>
      </c>
      <c r="B11" s="3" t="inlineStr">
        <is>
          <t>生活</t>
        </is>
      </c>
      <c r="C11" s="4" t="n">
        <v>800</v>
      </c>
      <c r="D11" s="4" t="n">
        <v>920</v>
      </c>
    </row>
    <row r="12">
      <c r="A12" s="3" t="inlineStr">
        <is>
          <t>储蓄</t>
        </is>
      </c>
      <c r="B12" s="3" t="inlineStr">
        <is>
          <t>储蓄</t>
        </is>
      </c>
      <c r="C12" s="4" t="n">
        <v>3000</v>
      </c>
      <c r="D12" s="4" t="n">
        <v>3000</v>
      </c>
    </row>
    <row r="13">
      <c r="A13" s="5" t="inlineStr">
        <is>
          <t>合计</t>
        </is>
      </c>
      <c r="B13" s="6" t="n"/>
      <c r="C13" s="7">
        <f>SUM(C4:C12)</f>
        <v/>
      </c>
      <c r="D13" s="7">
        <f>SUM(D4:D12)</f>
        <v/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6" customWidth="1" min="2" max="2"/>
  </cols>
  <sheetData>
    <row r="1">
      <c r="A1" s="1" t="inlineStr">
        <is>
          <t>汇总分析</t>
        </is>
      </c>
    </row>
    <row r="3">
      <c r="A3" s="2" t="inlineStr">
        <is>
          <t>指标</t>
        </is>
      </c>
      <c r="B3" s="2" t="inlineStr">
        <is>
          <t>金额</t>
        </is>
      </c>
    </row>
    <row r="4">
      <c r="A4" s="3" t="inlineStr">
        <is>
          <t>总收入</t>
        </is>
      </c>
      <c r="B4" s="8">
        <f>SUM(Budget!D4:D6)</f>
        <v/>
      </c>
    </row>
    <row r="5">
      <c r="A5" s="3" t="inlineStr">
        <is>
          <t>总支出</t>
        </is>
      </c>
      <c r="B5" s="8">
        <f>SUM(Budget!D7:D12)</f>
        <v/>
      </c>
    </row>
    <row r="6">
      <c r="A6" s="3" t="inlineStr">
        <is>
          <t>结余</t>
        </is>
      </c>
      <c r="B6" s="8">
        <f>B4-B5</f>
        <v/>
      </c>
    </row>
    <row r="7">
      <c r="A7" s="3" t="inlineStr">
        <is>
          <t>支出占收入比</t>
        </is>
      </c>
      <c r="B7" s="9">
        <f>B5/B4</f>
        <v/>
      </c>
    </row>
    <row r="8">
      <c r="A8" s="3" t="inlineStr">
        <is>
          <t>预算完成率</t>
        </is>
      </c>
      <c r="B8" s="9">
        <f>SUM(Budget!D4:D12)/SUM(Budget!C4:C12)</f>
        <v/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2026-06-05T06:00:30Z</dcterms:created>
  <dcterms:modified xmlns:dcterms="http://purl.org/dc/terms/" xmlns:xsi="http://www.w3.org/2001/XMLSchema-instance" xsi:type="dcterms:W3CDTF">2026-06-05T06:00:30Z</dcterms:modified>
</cp:coreProperties>
</file>